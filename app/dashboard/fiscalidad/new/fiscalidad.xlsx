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xr:revisionPtr revIDLastSave="0" documentId="8_{C0D65314-DEE8-4E9C-9DBC-A3867DCA95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tracción" sheetId="1" r:id="rId1"/>
    <sheet name="Resumen" sheetId="2" r:id="rId2"/>
    <sheet name="Diccion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C75" i="1"/>
  <c r="C60" i="1"/>
  <c r="C45" i="1"/>
  <c r="C30" i="1"/>
  <c r="C15" i="1"/>
  <c r="B15" i="2" l="1"/>
  <c r="C16" i="1"/>
  <c r="B16" i="2" s="1"/>
  <c r="C15" i="2"/>
  <c r="C31" i="1"/>
  <c r="C16" i="2" s="1"/>
  <c r="D15" i="2"/>
  <c r="C46" i="1"/>
  <c r="D16" i="2" s="1"/>
  <c r="E15" i="2"/>
  <c r="C61" i="1"/>
  <c r="E16" i="2" s="1"/>
  <c r="F15" i="2"/>
  <c r="C76" i="1"/>
  <c r="F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Métrica derivada para MoneyMap, calculada mediante fórmula en Excel.</t>
        </r>
      </text>
    </comment>
    <comment ref="C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Métrica derivada para MoneyMap: ingresos totales - retenciones totales - resultado declaración.</t>
        </r>
      </text>
    </comment>
    <comment ref="C3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Métrica derivada para MoneyMap, calculada mediante fórmula en Excel.</t>
        </r>
      </text>
    </comment>
    <comment ref="C3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Métrica derivada para MoneyMap: ingresos totales - retenciones totales - resultado declaración.</t>
        </r>
      </text>
    </comment>
    <comment ref="C4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Métrica derivada para MoneyMap, calculada mediante fórmula en Excel.</t>
        </r>
      </text>
    </comment>
    <comment ref="C4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Métrica derivada para MoneyMap: ingresos totales - retenciones totales - resultado declaración.</t>
        </r>
      </text>
    </comment>
    <comment ref="C6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Métrica derivada para MoneyMap, calculada mediante fórmula en Excel.</t>
        </r>
      </text>
    </comment>
    <comment ref="C6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Métrica derivada para MoneyMap: ingresos totales - retenciones totales - resultado declaración.</t>
        </r>
      </text>
    </comment>
    <comment ref="C7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Métrica derivada para MoneyMap, calculada mediante fórmula en Excel.</t>
        </r>
      </text>
    </comment>
    <comment ref="C7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Métrica derivada para MoneyMap: ingresos totales - retenciones totales - resultado declaración.</t>
        </r>
      </text>
    </comment>
  </commentList>
</comments>
</file>

<file path=xl/sharedStrings.xml><?xml version="1.0" encoding="utf-8"?>
<sst xmlns="http://schemas.openxmlformats.org/spreadsheetml/2006/main" count="289" uniqueCount="65">
  <si>
    <t>Métrica</t>
  </si>
  <si>
    <t>Fecha operativa</t>
  </si>
  <si>
    <t>Importe</t>
  </si>
  <si>
    <t>Casilla</t>
  </si>
  <si>
    <t>Ejercicio</t>
  </si>
  <si>
    <t>Documento</t>
  </si>
  <si>
    <t>Notas</t>
  </si>
  <si>
    <t>Ingresos trabajo</t>
  </si>
  <si>
    <t>0012</t>
  </si>
  <si>
    <t>PDFDeclaracion_2021.pdf</t>
  </si>
  <si>
    <t>Retenciones trabajo</t>
  </si>
  <si>
    <t>0596</t>
  </si>
  <si>
    <t>Ingresos capital mobiliario</t>
  </si>
  <si>
    <t>0036</t>
  </si>
  <si>
    <t>Ingresos inmobiliarios netos</t>
  </si>
  <si>
    <t>0155</t>
  </si>
  <si>
    <t>Ganancias patrimoniales</t>
  </si>
  <si>
    <t>0425</t>
  </si>
  <si>
    <t>Base imponible general</t>
  </si>
  <si>
    <t>0435</t>
  </si>
  <si>
    <t>Base imponible ahorro</t>
  </si>
  <si>
    <t>0460</t>
  </si>
  <si>
    <t>Cuota íntegra estatal</t>
  </si>
  <si>
    <t>0545</t>
  </si>
  <si>
    <t>Cuota íntegra autonómica</t>
  </si>
  <si>
    <t>0546</t>
  </si>
  <si>
    <t>Cuota líquida total</t>
  </si>
  <si>
    <t>0587</t>
  </si>
  <si>
    <t>Retenciones totales</t>
  </si>
  <si>
    <t>0609</t>
  </si>
  <si>
    <t>Resultado declaración</t>
  </si>
  <si>
    <t>0670</t>
  </si>
  <si>
    <t>Aportaciones pensiones</t>
  </si>
  <si>
    <t>Ingresos totales</t>
  </si>
  <si>
    <t>Fórmula</t>
  </si>
  <si>
    <t>Ingresos trabajo + capital mobiliario bruto + inmobiliarios netos + ganancias patrimoniales netas.</t>
  </si>
  <si>
    <t>Margen fiscal sobre ingresos</t>
  </si>
  <si>
    <t>Ingresos totales - retenciones totales - resultado de la declaración.</t>
  </si>
  <si>
    <t>PDFDeclaracion_2022.pdf</t>
  </si>
  <si>
    <t>PDFDeclaracion - 2023.pdf</t>
  </si>
  <si>
    <t>0424</t>
  </si>
  <si>
    <t>0492</t>
  </si>
  <si>
    <t>PDFDeclaracion - 2024_mod.pdf</t>
  </si>
  <si>
    <t>PDFDeclaracion - 2025.pdf</t>
  </si>
  <si>
    <t>2021</t>
  </si>
  <si>
    <t>2022</t>
  </si>
  <si>
    <t>2023</t>
  </si>
  <si>
    <t>2024</t>
  </si>
  <si>
    <t>2025</t>
  </si>
  <si>
    <t>Definición / criterio de extracción</t>
  </si>
  <si>
    <t>Total ingresos íntegros computables de rendimientos del trabajo. Casilla 0012.</t>
  </si>
  <si>
    <t>Retenciones / pagos a cuenta por rendimientos del trabajo. Casilla 0596.</t>
  </si>
  <si>
    <t>Total de ingresos íntegros de capital mobiliario. Casilla 0036 cuando existe.</t>
  </si>
  <si>
    <t>Rentas inmobiliarias netas/imputadas. Se informa 0 si no aparece importe por tratarse de vivienda habitual.</t>
  </si>
  <si>
    <t>Saldo neto de ganancias/pérdidas a integrar en base del ahorro: positivo casilla 0424 o negativo casilla 0425.</t>
  </si>
  <si>
    <t>Casilla 0435.</t>
  </si>
  <si>
    <t>Casilla 0460.</t>
  </si>
  <si>
    <t>Casilla 0545.</t>
  </si>
  <si>
    <t>Casilla 0546.</t>
  </si>
  <si>
    <t>Cuota líquida incrementada total / suma cuota líquida estatal y autonómica. Casilla 0587.</t>
  </si>
  <si>
    <t>Total pagos a cuenta. Casilla 0609.</t>
  </si>
  <si>
    <t>Resultado de la declaración. Casilla 0670.</t>
  </si>
  <si>
    <t>Reducción aplicada por aportaciones a sistemas de previsión social. Casilla 0492 cuando existe.</t>
  </si>
  <si>
    <t>Fórmula MoneyMap: ingresos trabajo + ingresos capital mobiliario + ingresos inmobiliarios netos + ganancias patrimoniales netas.</t>
  </si>
  <si>
    <t>Fórmula MoneyMap: ingresos totales - retenciones totales - resultado de la declaración.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</si>
</sst>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000000"/>
      <name val="Calibri"/>
    </font>
    <font>
      <b/>
      <sz val="11"/>
      <color rgb="FF0B3A6E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A6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164" fontId="0" fillId="0" borderId="1" xfId="0" applyNumberFormat="1" applyBorder="1" applyAlignment="1">
      <alignment horizontal="right"/>
    </xf>
    <xf numFmtId="0" fontId="6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Extraccion_Renta" displayName="Tabla_Extraccion_Renta" ref="A1:G76">
  <autoFilter ref="A1:G76" xr:uid="{00000000-0009-0000-0100-000001000000}"/>
  <tableColumns count="7">
    <tableColumn id="1" xr3:uid="{00000000-0010-0000-0000-000001000000}" name="Métrica"/>
    <tableColumn id="2" xr3:uid="{00000000-0010-0000-0000-000002000000}" name="Fecha operativa"/>
    <tableColumn id="3" xr3:uid="{00000000-0010-0000-0000-000003000000}" name="Importe"/>
    <tableColumn id="4" xr3:uid="{00000000-0010-0000-0000-000004000000}" name="Casilla"/>
    <tableColumn id="5" xr3:uid="{00000000-0010-0000-0000-000005000000}" name="Ejercicio"/>
    <tableColumn id="6" xr3:uid="{00000000-0010-0000-0000-000006000000}" name="Documento"/>
    <tableColumn id="7" xr3:uid="{00000000-0010-0000-0000-000007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defaultRowHeight="15"/>
  <cols>
    <col min="1" max="1" width="32" customWidth="1"/>
    <col min="2" max="2" width="16" customWidth="1"/>
    <col min="3" max="3" width="18" customWidth="1"/>
    <col min="4" max="5" width="12" customWidth="1"/>
    <col min="6" max="6" width="30" customWidth="1"/>
    <col min="7" max="7" width="7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44197</v>
      </c>
      <c r="C2" s="4">
        <v>49639.98</v>
      </c>
      <c r="D2" s="5" t="s">
        <v>8</v>
      </c>
      <c r="E2" s="5">
        <v>2021</v>
      </c>
      <c r="F2" s="2" t="s">
        <v>9</v>
      </c>
      <c r="G2" s="6"/>
    </row>
    <row r="3" spans="1:7">
      <c r="A3" s="2" t="s">
        <v>10</v>
      </c>
      <c r="B3" s="3">
        <v>44197</v>
      </c>
      <c r="C3" s="4">
        <v>7734.2</v>
      </c>
      <c r="D3" s="5" t="s">
        <v>11</v>
      </c>
      <c r="E3" s="5">
        <v>2021</v>
      </c>
      <c r="F3" s="2" t="s">
        <v>9</v>
      </c>
      <c r="G3" s="6"/>
    </row>
    <row r="4" spans="1:7">
      <c r="A4" s="2" t="s">
        <v>12</v>
      </c>
      <c r="B4" s="3">
        <v>44197</v>
      </c>
      <c r="C4" s="4">
        <v>225.11</v>
      </c>
      <c r="D4" s="5" t="s">
        <v>13</v>
      </c>
      <c r="E4" s="5">
        <v>2021</v>
      </c>
      <c r="F4" s="2" t="s">
        <v>9</v>
      </c>
      <c r="G4" s="6"/>
    </row>
    <row r="5" spans="1:7">
      <c r="A5" s="2" t="s">
        <v>14</v>
      </c>
      <c r="B5" s="3">
        <v>44197</v>
      </c>
      <c r="C5" s="4">
        <v>31.49</v>
      </c>
      <c r="D5" s="5" t="s">
        <v>15</v>
      </c>
      <c r="E5" s="5">
        <v>2021</v>
      </c>
      <c r="F5" s="2" t="s">
        <v>9</v>
      </c>
      <c r="G5" s="6"/>
    </row>
    <row r="6" spans="1:7">
      <c r="A6" s="2" t="s">
        <v>16</v>
      </c>
      <c r="B6" s="3">
        <v>44197</v>
      </c>
      <c r="C6" s="4">
        <v>-1086.8</v>
      </c>
      <c r="D6" s="5" t="s">
        <v>17</v>
      </c>
      <c r="E6" s="5">
        <v>2021</v>
      </c>
      <c r="F6" s="2" t="s">
        <v>9</v>
      </c>
      <c r="G6" s="6"/>
    </row>
    <row r="7" spans="1:7">
      <c r="A7" s="2" t="s">
        <v>18</v>
      </c>
      <c r="B7" s="3">
        <v>44197</v>
      </c>
      <c r="C7" s="4">
        <v>44733.14</v>
      </c>
      <c r="D7" s="5" t="s">
        <v>19</v>
      </c>
      <c r="E7" s="5">
        <v>2021</v>
      </c>
      <c r="F7" s="2" t="s">
        <v>9</v>
      </c>
      <c r="G7" s="6"/>
    </row>
    <row r="8" spans="1:7">
      <c r="A8" s="2" t="s">
        <v>20</v>
      </c>
      <c r="B8" s="3">
        <v>44197</v>
      </c>
      <c r="C8" s="4">
        <v>89.05</v>
      </c>
      <c r="D8" s="5" t="s">
        <v>21</v>
      </c>
      <c r="E8" s="5">
        <v>2021</v>
      </c>
      <c r="F8" s="2" t="s">
        <v>9</v>
      </c>
      <c r="G8" s="6"/>
    </row>
    <row r="9" spans="1:7">
      <c r="A9" s="2" t="s">
        <v>22</v>
      </c>
      <c r="B9" s="3">
        <v>44197</v>
      </c>
      <c r="C9" s="4">
        <v>5607.59</v>
      </c>
      <c r="D9" s="5" t="s">
        <v>23</v>
      </c>
      <c r="E9" s="5">
        <v>2021</v>
      </c>
      <c r="F9" s="2" t="s">
        <v>9</v>
      </c>
      <c r="G9" s="6"/>
    </row>
    <row r="10" spans="1:7">
      <c r="A10" s="2" t="s">
        <v>24</v>
      </c>
      <c r="B10" s="3">
        <v>44197</v>
      </c>
      <c r="C10" s="4">
        <v>5352.11</v>
      </c>
      <c r="D10" s="5" t="s">
        <v>25</v>
      </c>
      <c r="E10" s="5">
        <v>2021</v>
      </c>
      <c r="F10" s="2" t="s">
        <v>9</v>
      </c>
      <c r="G10" s="6"/>
    </row>
    <row r="11" spans="1:7">
      <c r="A11" s="2" t="s">
        <v>26</v>
      </c>
      <c r="B11" s="3">
        <v>44197</v>
      </c>
      <c r="C11" s="4">
        <v>10959.7</v>
      </c>
      <c r="D11" s="5" t="s">
        <v>27</v>
      </c>
      <c r="E11" s="5">
        <v>2021</v>
      </c>
      <c r="F11" s="2" t="s">
        <v>9</v>
      </c>
      <c r="G11" s="6"/>
    </row>
    <row r="12" spans="1:7">
      <c r="A12" s="2" t="s">
        <v>28</v>
      </c>
      <c r="B12" s="3">
        <v>44197</v>
      </c>
      <c r="C12" s="4">
        <v>7776.56</v>
      </c>
      <c r="D12" s="5" t="s">
        <v>29</v>
      </c>
      <c r="E12" s="5">
        <v>2021</v>
      </c>
      <c r="F12" s="2" t="s">
        <v>9</v>
      </c>
      <c r="G12" s="6"/>
    </row>
    <row r="13" spans="1:7">
      <c r="A13" s="2" t="s">
        <v>30</v>
      </c>
      <c r="B13" s="3">
        <v>44197</v>
      </c>
      <c r="C13" s="4">
        <v>3183.14</v>
      </c>
      <c r="D13" s="5" t="s">
        <v>31</v>
      </c>
      <c r="E13" s="5">
        <v>2021</v>
      </c>
      <c r="F13" s="2" t="s">
        <v>9</v>
      </c>
      <c r="G13" s="6"/>
    </row>
    <row r="14" spans="1:7">
      <c r="A14" s="2" t="s">
        <v>32</v>
      </c>
      <c r="B14" s="3">
        <v>44197</v>
      </c>
      <c r="C14" s="4">
        <v>0</v>
      </c>
      <c r="D14" s="5"/>
      <c r="E14" s="5">
        <v>2021</v>
      </c>
      <c r="F14" s="2" t="s">
        <v>9</v>
      </c>
      <c r="G14" s="6"/>
    </row>
    <row r="15" spans="1:7">
      <c r="A15" s="7" t="s">
        <v>33</v>
      </c>
      <c r="B15" s="3">
        <v>44197</v>
      </c>
      <c r="C15" s="8">
        <f>C2+C4+C5+C6</f>
        <v>48809.78</v>
      </c>
      <c r="D15" s="5" t="s">
        <v>34</v>
      </c>
      <c r="E15" s="5">
        <v>2021</v>
      </c>
      <c r="F15" s="2" t="s">
        <v>9</v>
      </c>
      <c r="G15" s="6" t="s">
        <v>35</v>
      </c>
    </row>
    <row r="16" spans="1:7">
      <c r="A16" s="7" t="s">
        <v>36</v>
      </c>
      <c r="B16" s="3">
        <v>44197</v>
      </c>
      <c r="C16" s="8">
        <f>C15-C12-C13</f>
        <v>37850.080000000002</v>
      </c>
      <c r="D16" s="5" t="s">
        <v>34</v>
      </c>
      <c r="E16" s="5">
        <v>2021</v>
      </c>
      <c r="F16" s="2" t="s">
        <v>9</v>
      </c>
      <c r="G16" s="6" t="s">
        <v>37</v>
      </c>
    </row>
    <row r="17" spans="1:7">
      <c r="A17" s="2" t="s">
        <v>7</v>
      </c>
      <c r="B17" s="3">
        <v>44562</v>
      </c>
      <c r="C17" s="4">
        <v>46396.85</v>
      </c>
      <c r="D17" s="5" t="s">
        <v>8</v>
      </c>
      <c r="E17" s="5">
        <v>2022</v>
      </c>
      <c r="F17" s="2" t="s">
        <v>38</v>
      </c>
      <c r="G17" s="6"/>
    </row>
    <row r="18" spans="1:7">
      <c r="A18" s="2" t="s">
        <v>10</v>
      </c>
      <c r="B18" s="3">
        <v>44562</v>
      </c>
      <c r="C18" s="4">
        <v>8439.8700000000008</v>
      </c>
      <c r="D18" s="5" t="s">
        <v>11</v>
      </c>
      <c r="E18" s="5">
        <v>2022</v>
      </c>
      <c r="F18" s="2" t="s">
        <v>38</v>
      </c>
      <c r="G18" s="6"/>
    </row>
    <row r="19" spans="1:7">
      <c r="A19" s="2" t="s">
        <v>12</v>
      </c>
      <c r="B19" s="3">
        <v>44562</v>
      </c>
      <c r="C19" s="4">
        <v>0</v>
      </c>
      <c r="D19" s="5" t="s">
        <v>13</v>
      </c>
      <c r="E19" s="5">
        <v>2022</v>
      </c>
      <c r="F19" s="2" t="s">
        <v>38</v>
      </c>
      <c r="G19" s="6"/>
    </row>
    <row r="20" spans="1:7">
      <c r="A20" s="2" t="s">
        <v>14</v>
      </c>
      <c r="B20" s="3">
        <v>44562</v>
      </c>
      <c r="C20" s="4">
        <v>0</v>
      </c>
      <c r="D20" s="5"/>
      <c r="E20" s="5">
        <v>2022</v>
      </c>
      <c r="F20" s="2" t="s">
        <v>38</v>
      </c>
      <c r="G20" s="6"/>
    </row>
    <row r="21" spans="1:7">
      <c r="A21" s="2" t="s">
        <v>16</v>
      </c>
      <c r="B21" s="3">
        <v>44562</v>
      </c>
      <c r="C21" s="4">
        <v>-2125.4899999999998</v>
      </c>
      <c r="D21" s="5" t="s">
        <v>17</v>
      </c>
      <c r="E21" s="5">
        <v>2022</v>
      </c>
      <c r="F21" s="2" t="s">
        <v>38</v>
      </c>
      <c r="G21" s="6"/>
    </row>
    <row r="22" spans="1:7">
      <c r="A22" s="2" t="s">
        <v>18</v>
      </c>
      <c r="B22" s="3">
        <v>44562</v>
      </c>
      <c r="C22" s="4">
        <v>41447.760000000002</v>
      </c>
      <c r="D22" s="5" t="s">
        <v>19</v>
      </c>
      <c r="E22" s="5">
        <v>2022</v>
      </c>
      <c r="F22" s="2" t="s">
        <v>38</v>
      </c>
      <c r="G22" s="6"/>
    </row>
    <row r="23" spans="1:7">
      <c r="A23" s="2" t="s">
        <v>20</v>
      </c>
      <c r="B23" s="3">
        <v>44562</v>
      </c>
      <c r="C23" s="4">
        <v>0</v>
      </c>
      <c r="D23" s="5" t="s">
        <v>21</v>
      </c>
      <c r="E23" s="5">
        <v>2022</v>
      </c>
      <c r="F23" s="2" t="s">
        <v>38</v>
      </c>
      <c r="G23" s="6"/>
    </row>
    <row r="24" spans="1:7">
      <c r="A24" s="2" t="s">
        <v>22</v>
      </c>
      <c r="B24" s="3">
        <v>44562</v>
      </c>
      <c r="C24" s="4">
        <v>4991.34</v>
      </c>
      <c r="D24" s="5" t="s">
        <v>23</v>
      </c>
      <c r="E24" s="5">
        <v>2022</v>
      </c>
      <c r="F24" s="2" t="s">
        <v>38</v>
      </c>
      <c r="G24" s="6"/>
    </row>
    <row r="25" spans="1:7">
      <c r="A25" s="2" t="s">
        <v>24</v>
      </c>
      <c r="B25" s="3">
        <v>44562</v>
      </c>
      <c r="C25" s="4">
        <v>4883.91</v>
      </c>
      <c r="D25" s="5" t="s">
        <v>25</v>
      </c>
      <c r="E25" s="5">
        <v>2022</v>
      </c>
      <c r="F25" s="2" t="s">
        <v>38</v>
      </c>
      <c r="G25" s="6"/>
    </row>
    <row r="26" spans="1:7">
      <c r="A26" s="2" t="s">
        <v>26</v>
      </c>
      <c r="B26" s="3">
        <v>44562</v>
      </c>
      <c r="C26" s="4">
        <v>9875.25</v>
      </c>
      <c r="D26" s="5" t="s">
        <v>27</v>
      </c>
      <c r="E26" s="5">
        <v>2022</v>
      </c>
      <c r="F26" s="2" t="s">
        <v>38</v>
      </c>
      <c r="G26" s="6"/>
    </row>
    <row r="27" spans="1:7">
      <c r="A27" s="2" t="s">
        <v>28</v>
      </c>
      <c r="B27" s="3">
        <v>44562</v>
      </c>
      <c r="C27" s="4">
        <v>8439.8700000000008</v>
      </c>
      <c r="D27" s="5" t="s">
        <v>29</v>
      </c>
      <c r="E27" s="5">
        <v>2022</v>
      </c>
      <c r="F27" s="2" t="s">
        <v>38</v>
      </c>
      <c r="G27" s="6"/>
    </row>
    <row r="28" spans="1:7">
      <c r="A28" s="2" t="s">
        <v>30</v>
      </c>
      <c r="B28" s="3">
        <v>44562</v>
      </c>
      <c r="C28" s="4">
        <v>1435.38</v>
      </c>
      <c r="D28" s="5" t="s">
        <v>31</v>
      </c>
      <c r="E28" s="5">
        <v>2022</v>
      </c>
      <c r="F28" s="2" t="s">
        <v>38</v>
      </c>
      <c r="G28" s="6"/>
    </row>
    <row r="29" spans="1:7">
      <c r="A29" s="2" t="s">
        <v>32</v>
      </c>
      <c r="B29" s="3">
        <v>44562</v>
      </c>
      <c r="C29" s="4">
        <v>0</v>
      </c>
      <c r="D29" s="5"/>
      <c r="E29" s="5">
        <v>2022</v>
      </c>
      <c r="F29" s="2" t="s">
        <v>38</v>
      </c>
      <c r="G29" s="6"/>
    </row>
    <row r="30" spans="1:7">
      <c r="A30" s="7" t="s">
        <v>33</v>
      </c>
      <c r="B30" s="3">
        <v>44562</v>
      </c>
      <c r="C30" s="8">
        <f>C17+C19+C20+C21</f>
        <v>44271.360000000001</v>
      </c>
      <c r="D30" s="5" t="s">
        <v>34</v>
      </c>
      <c r="E30" s="5">
        <v>2022</v>
      </c>
      <c r="F30" s="2" t="s">
        <v>38</v>
      </c>
      <c r="G30" s="6" t="s">
        <v>35</v>
      </c>
    </row>
    <row r="31" spans="1:7">
      <c r="A31" s="7" t="s">
        <v>36</v>
      </c>
      <c r="B31" s="3">
        <v>44562</v>
      </c>
      <c r="C31" s="8">
        <f>C30-C27-C28</f>
        <v>34396.11</v>
      </c>
      <c r="D31" s="5" t="s">
        <v>34</v>
      </c>
      <c r="E31" s="5">
        <v>2022</v>
      </c>
      <c r="F31" s="2" t="s">
        <v>38</v>
      </c>
      <c r="G31" s="6" t="s">
        <v>37</v>
      </c>
    </row>
    <row r="32" spans="1:7">
      <c r="A32" s="2" t="s">
        <v>7</v>
      </c>
      <c r="B32" s="3">
        <v>44927</v>
      </c>
      <c r="C32" s="4">
        <v>53157.919999999998</v>
      </c>
      <c r="D32" s="5" t="s">
        <v>8</v>
      </c>
      <c r="E32" s="5">
        <v>2023</v>
      </c>
      <c r="F32" s="2" t="s">
        <v>39</v>
      </c>
      <c r="G32" s="6"/>
    </row>
    <row r="33" spans="1:7">
      <c r="A33" s="2" t="s">
        <v>10</v>
      </c>
      <c r="B33" s="3">
        <v>44927</v>
      </c>
      <c r="C33" s="4">
        <v>11944.27</v>
      </c>
      <c r="D33" s="5" t="s">
        <v>11</v>
      </c>
      <c r="E33" s="5">
        <v>2023</v>
      </c>
      <c r="F33" s="2" t="s">
        <v>39</v>
      </c>
      <c r="G33" s="6"/>
    </row>
    <row r="34" spans="1:7">
      <c r="A34" s="2" t="s">
        <v>12</v>
      </c>
      <c r="B34" s="3">
        <v>44927</v>
      </c>
      <c r="C34" s="4">
        <v>708.99</v>
      </c>
      <c r="D34" s="5" t="s">
        <v>13</v>
      </c>
      <c r="E34" s="5">
        <v>2023</v>
      </c>
      <c r="F34" s="2" t="s">
        <v>39</v>
      </c>
      <c r="G34" s="6"/>
    </row>
    <row r="35" spans="1:7">
      <c r="A35" s="2" t="s">
        <v>14</v>
      </c>
      <c r="B35" s="3">
        <v>44927</v>
      </c>
      <c r="C35" s="4">
        <v>0</v>
      </c>
      <c r="D35" s="5"/>
      <c r="E35" s="5">
        <v>2023</v>
      </c>
      <c r="F35" s="2" t="s">
        <v>39</v>
      </c>
      <c r="G35" s="6"/>
    </row>
    <row r="36" spans="1:7">
      <c r="A36" s="2" t="s">
        <v>16</v>
      </c>
      <c r="B36" s="3">
        <v>44927</v>
      </c>
      <c r="C36" s="4">
        <v>2417.91</v>
      </c>
      <c r="D36" s="5" t="s">
        <v>40</v>
      </c>
      <c r="E36" s="5">
        <v>2023</v>
      </c>
      <c r="F36" s="2" t="s">
        <v>39</v>
      </c>
      <c r="G36" s="6"/>
    </row>
    <row r="37" spans="1:7">
      <c r="A37" s="2" t="s">
        <v>18</v>
      </c>
      <c r="B37" s="3">
        <v>44927</v>
      </c>
      <c r="C37" s="4">
        <v>47727.53</v>
      </c>
      <c r="D37" s="5" t="s">
        <v>19</v>
      </c>
      <c r="E37" s="5">
        <v>2023</v>
      </c>
      <c r="F37" s="2" t="s">
        <v>39</v>
      </c>
      <c r="G37" s="6"/>
    </row>
    <row r="38" spans="1:7">
      <c r="A38" s="2" t="s">
        <v>20</v>
      </c>
      <c r="B38" s="3">
        <v>44927</v>
      </c>
      <c r="C38" s="4">
        <v>520.30999999999995</v>
      </c>
      <c r="D38" s="5" t="s">
        <v>21</v>
      </c>
      <c r="E38" s="5">
        <v>2023</v>
      </c>
      <c r="F38" s="2" t="s">
        <v>39</v>
      </c>
      <c r="G38" s="6"/>
    </row>
    <row r="39" spans="1:7">
      <c r="A39" s="2" t="s">
        <v>22</v>
      </c>
      <c r="B39" s="3">
        <v>44927</v>
      </c>
      <c r="C39" s="4">
        <v>6041.82</v>
      </c>
      <c r="D39" s="5" t="s">
        <v>23</v>
      </c>
      <c r="E39" s="5">
        <v>2023</v>
      </c>
      <c r="F39" s="2" t="s">
        <v>39</v>
      </c>
      <c r="G39" s="6"/>
    </row>
    <row r="40" spans="1:7">
      <c r="A40" s="2" t="s">
        <v>24</v>
      </c>
      <c r="B40" s="3">
        <v>44927</v>
      </c>
      <c r="C40" s="4">
        <v>6001.75</v>
      </c>
      <c r="D40" s="5" t="s">
        <v>25</v>
      </c>
      <c r="E40" s="5">
        <v>2023</v>
      </c>
      <c r="F40" s="2" t="s">
        <v>39</v>
      </c>
      <c r="G40" s="6"/>
    </row>
    <row r="41" spans="1:7">
      <c r="A41" s="2" t="s">
        <v>26</v>
      </c>
      <c r="B41" s="3">
        <v>44927</v>
      </c>
      <c r="C41" s="4">
        <v>11939.57</v>
      </c>
      <c r="D41" s="5" t="s">
        <v>27</v>
      </c>
      <c r="E41" s="5">
        <v>2023</v>
      </c>
      <c r="F41" s="2" t="s">
        <v>39</v>
      </c>
      <c r="G41" s="6"/>
    </row>
    <row r="42" spans="1:7">
      <c r="A42" s="2" t="s">
        <v>28</v>
      </c>
      <c r="B42" s="3">
        <v>44927</v>
      </c>
      <c r="C42" s="4">
        <v>12078.98</v>
      </c>
      <c r="D42" s="5" t="s">
        <v>29</v>
      </c>
      <c r="E42" s="5">
        <v>2023</v>
      </c>
      <c r="F42" s="2" t="s">
        <v>39</v>
      </c>
      <c r="G42" s="6"/>
    </row>
    <row r="43" spans="1:7">
      <c r="A43" s="2" t="s">
        <v>30</v>
      </c>
      <c r="B43" s="3">
        <v>44927</v>
      </c>
      <c r="C43" s="4">
        <v>-139.41</v>
      </c>
      <c r="D43" s="5" t="s">
        <v>31</v>
      </c>
      <c r="E43" s="5">
        <v>2023</v>
      </c>
      <c r="F43" s="2" t="s">
        <v>39</v>
      </c>
      <c r="G43" s="6"/>
    </row>
    <row r="44" spans="1:7">
      <c r="A44" s="2" t="s">
        <v>32</v>
      </c>
      <c r="B44" s="3">
        <v>44927</v>
      </c>
      <c r="C44" s="4">
        <v>868.68</v>
      </c>
      <c r="D44" s="5" t="s">
        <v>41</v>
      </c>
      <c r="E44" s="5">
        <v>2023</v>
      </c>
      <c r="F44" s="2" t="s">
        <v>39</v>
      </c>
      <c r="G44" s="6"/>
    </row>
    <row r="45" spans="1:7">
      <c r="A45" s="7" t="s">
        <v>33</v>
      </c>
      <c r="B45" s="3">
        <v>44927</v>
      </c>
      <c r="C45" s="8">
        <f>C32+C34+C35+C36</f>
        <v>56284.819999999992</v>
      </c>
      <c r="D45" s="5" t="s">
        <v>34</v>
      </c>
      <c r="E45" s="5">
        <v>2023</v>
      </c>
      <c r="F45" s="2" t="s">
        <v>39</v>
      </c>
      <c r="G45" s="6" t="s">
        <v>35</v>
      </c>
    </row>
    <row r="46" spans="1:7">
      <c r="A46" s="7" t="s">
        <v>36</v>
      </c>
      <c r="B46" s="3">
        <v>44927</v>
      </c>
      <c r="C46" s="8">
        <f>C45-C42-C43</f>
        <v>44345.25</v>
      </c>
      <c r="D46" s="5" t="s">
        <v>34</v>
      </c>
      <c r="E46" s="5">
        <v>2023</v>
      </c>
      <c r="F46" s="2" t="s">
        <v>39</v>
      </c>
      <c r="G46" s="6" t="s">
        <v>37</v>
      </c>
    </row>
    <row r="47" spans="1:7">
      <c r="A47" s="2" t="s">
        <v>7</v>
      </c>
      <c r="B47" s="3">
        <v>45292</v>
      </c>
      <c r="C47" s="4">
        <v>59896.2</v>
      </c>
      <c r="D47" s="5" t="s">
        <v>8</v>
      </c>
      <c r="E47" s="5">
        <v>2024</v>
      </c>
      <c r="F47" s="2" t="s">
        <v>42</v>
      </c>
      <c r="G47" s="6"/>
    </row>
    <row r="48" spans="1:7">
      <c r="A48" s="2" t="s">
        <v>10</v>
      </c>
      <c r="B48" s="3">
        <v>45292</v>
      </c>
      <c r="C48" s="4">
        <v>14104.38</v>
      </c>
      <c r="D48" s="5" t="s">
        <v>11</v>
      </c>
      <c r="E48" s="5">
        <v>2024</v>
      </c>
      <c r="F48" s="2" t="s">
        <v>42</v>
      </c>
      <c r="G48" s="6"/>
    </row>
    <row r="49" spans="1:7">
      <c r="A49" s="2" t="s">
        <v>12</v>
      </c>
      <c r="B49" s="3">
        <v>45292</v>
      </c>
      <c r="C49" s="4">
        <v>1632.04</v>
      </c>
      <c r="D49" s="5" t="s">
        <v>13</v>
      </c>
      <c r="E49" s="5">
        <v>2024</v>
      </c>
      <c r="F49" s="2" t="s">
        <v>42</v>
      </c>
      <c r="G49" s="6"/>
    </row>
    <row r="50" spans="1:7">
      <c r="A50" s="2" t="s">
        <v>14</v>
      </c>
      <c r="B50" s="3">
        <v>45292</v>
      </c>
      <c r="C50" s="4">
        <v>0</v>
      </c>
      <c r="D50" s="5"/>
      <c r="E50" s="5">
        <v>2024</v>
      </c>
      <c r="F50" s="2" t="s">
        <v>42</v>
      </c>
      <c r="G50" s="6"/>
    </row>
    <row r="51" spans="1:7">
      <c r="A51" s="2" t="s">
        <v>16</v>
      </c>
      <c r="B51" s="3">
        <v>45292</v>
      </c>
      <c r="C51" s="4">
        <v>12224.64</v>
      </c>
      <c r="D51" s="5" t="s">
        <v>40</v>
      </c>
      <c r="E51" s="5">
        <v>2024</v>
      </c>
      <c r="F51" s="2" t="s">
        <v>42</v>
      </c>
      <c r="G51" s="6"/>
    </row>
    <row r="52" spans="1:7">
      <c r="A52" s="2" t="s">
        <v>18</v>
      </c>
      <c r="B52" s="3">
        <v>45292</v>
      </c>
      <c r="C52" s="4">
        <v>54242.33</v>
      </c>
      <c r="D52" s="5" t="s">
        <v>19</v>
      </c>
      <c r="E52" s="5">
        <v>2024</v>
      </c>
      <c r="F52" s="2" t="s">
        <v>42</v>
      </c>
      <c r="G52" s="6"/>
    </row>
    <row r="53" spans="1:7">
      <c r="A53" s="2" t="s">
        <v>20</v>
      </c>
      <c r="B53" s="3">
        <v>45292</v>
      </c>
      <c r="C53" s="4">
        <v>10100.64</v>
      </c>
      <c r="D53" s="5" t="s">
        <v>21</v>
      </c>
      <c r="E53" s="5">
        <v>2024</v>
      </c>
      <c r="F53" s="2" t="s">
        <v>42</v>
      </c>
      <c r="G53" s="6"/>
    </row>
    <row r="54" spans="1:7">
      <c r="A54" s="2" t="s">
        <v>22</v>
      </c>
      <c r="B54" s="3">
        <v>45292</v>
      </c>
      <c r="C54" s="4">
        <v>8191.37</v>
      </c>
      <c r="D54" s="5" t="s">
        <v>23</v>
      </c>
      <c r="E54" s="5">
        <v>2024</v>
      </c>
      <c r="F54" s="2" t="s">
        <v>42</v>
      </c>
      <c r="G54" s="6"/>
    </row>
    <row r="55" spans="1:7">
      <c r="A55" s="2" t="s">
        <v>24</v>
      </c>
      <c r="B55" s="3">
        <v>45292</v>
      </c>
      <c r="C55" s="4">
        <v>8281.8799999999992</v>
      </c>
      <c r="D55" s="5" t="s">
        <v>25</v>
      </c>
      <c r="E55" s="5">
        <v>2024</v>
      </c>
      <c r="F55" s="2" t="s">
        <v>42</v>
      </c>
      <c r="G55" s="6"/>
    </row>
    <row r="56" spans="1:7">
      <c r="A56" s="2" t="s">
        <v>26</v>
      </c>
      <c r="B56" s="3">
        <v>45292</v>
      </c>
      <c r="C56" s="4">
        <v>16473.25</v>
      </c>
      <c r="D56" s="5" t="s">
        <v>27</v>
      </c>
      <c r="E56" s="5">
        <v>2024</v>
      </c>
      <c r="F56" s="2" t="s">
        <v>42</v>
      </c>
      <c r="G56" s="6"/>
    </row>
    <row r="57" spans="1:7">
      <c r="A57" s="2" t="s">
        <v>28</v>
      </c>
      <c r="B57" s="3">
        <v>45292</v>
      </c>
      <c r="C57" s="4">
        <v>14413.61</v>
      </c>
      <c r="D57" s="5" t="s">
        <v>29</v>
      </c>
      <c r="E57" s="5">
        <v>2024</v>
      </c>
      <c r="F57" s="2" t="s">
        <v>42</v>
      </c>
      <c r="G57" s="6"/>
    </row>
    <row r="58" spans="1:7">
      <c r="A58" s="2" t="s">
        <v>30</v>
      </c>
      <c r="B58" s="3">
        <v>45292</v>
      </c>
      <c r="C58" s="4">
        <v>2059.64</v>
      </c>
      <c r="D58" s="5" t="s">
        <v>31</v>
      </c>
      <c r="E58" s="5">
        <v>2024</v>
      </c>
      <c r="F58" s="2" t="s">
        <v>42</v>
      </c>
      <c r="G58" s="6"/>
    </row>
    <row r="59" spans="1:7">
      <c r="A59" s="2" t="s">
        <v>32</v>
      </c>
      <c r="B59" s="3">
        <v>45292</v>
      </c>
      <c r="C59" s="4">
        <v>905.6</v>
      </c>
      <c r="D59" s="5" t="s">
        <v>41</v>
      </c>
      <c r="E59" s="5">
        <v>2024</v>
      </c>
      <c r="F59" s="2" t="s">
        <v>42</v>
      </c>
      <c r="G59" s="6"/>
    </row>
    <row r="60" spans="1:7">
      <c r="A60" s="7" t="s">
        <v>33</v>
      </c>
      <c r="B60" s="3">
        <v>45292</v>
      </c>
      <c r="C60" s="8">
        <f>C47+C49+C50+C51</f>
        <v>73752.88</v>
      </c>
      <c r="D60" s="5" t="s">
        <v>34</v>
      </c>
      <c r="E60" s="5">
        <v>2024</v>
      </c>
      <c r="F60" s="2" t="s">
        <v>42</v>
      </c>
      <c r="G60" s="6" t="s">
        <v>35</v>
      </c>
    </row>
    <row r="61" spans="1:7">
      <c r="A61" s="7" t="s">
        <v>36</v>
      </c>
      <c r="B61" s="3">
        <v>45292</v>
      </c>
      <c r="C61" s="8">
        <f>C60-C57-C58</f>
        <v>57279.630000000005</v>
      </c>
      <c r="D61" s="5" t="s">
        <v>34</v>
      </c>
      <c r="E61" s="5">
        <v>2024</v>
      </c>
      <c r="F61" s="2" t="s">
        <v>42</v>
      </c>
      <c r="G61" s="6" t="s">
        <v>37</v>
      </c>
    </row>
    <row r="62" spans="1:7">
      <c r="A62" s="2" t="s">
        <v>7</v>
      </c>
      <c r="B62" s="3">
        <v>45658</v>
      </c>
      <c r="C62" s="4">
        <v>67055.039999999994</v>
      </c>
      <c r="D62" s="5" t="s">
        <v>8</v>
      </c>
      <c r="E62" s="5">
        <v>2025</v>
      </c>
      <c r="F62" s="2" t="s">
        <v>43</v>
      </c>
      <c r="G62" s="6"/>
    </row>
    <row r="63" spans="1:7">
      <c r="A63" s="2" t="s">
        <v>10</v>
      </c>
      <c r="B63" s="3">
        <v>45658</v>
      </c>
      <c r="C63" s="4">
        <v>16427.63</v>
      </c>
      <c r="D63" s="5" t="s">
        <v>11</v>
      </c>
      <c r="E63" s="5">
        <v>2025</v>
      </c>
      <c r="F63" s="2" t="s">
        <v>43</v>
      </c>
      <c r="G63" s="6"/>
    </row>
    <row r="64" spans="1:7">
      <c r="A64" s="2" t="s">
        <v>12</v>
      </c>
      <c r="B64" s="3">
        <v>45658</v>
      </c>
      <c r="C64" s="4">
        <v>822.05</v>
      </c>
      <c r="D64" s="5" t="s">
        <v>13</v>
      </c>
      <c r="E64" s="5">
        <v>2025</v>
      </c>
      <c r="F64" s="2" t="s">
        <v>43</v>
      </c>
      <c r="G64" s="6"/>
    </row>
    <row r="65" spans="1:7">
      <c r="A65" s="2" t="s">
        <v>14</v>
      </c>
      <c r="B65" s="3">
        <v>45658</v>
      </c>
      <c r="C65" s="4">
        <v>0</v>
      </c>
      <c r="D65" s="5"/>
      <c r="E65" s="5">
        <v>2025</v>
      </c>
      <c r="F65" s="2" t="s">
        <v>43</v>
      </c>
      <c r="G65" s="6"/>
    </row>
    <row r="66" spans="1:7">
      <c r="A66" s="2" t="s">
        <v>16</v>
      </c>
      <c r="B66" s="3">
        <v>45658</v>
      </c>
      <c r="C66" s="4">
        <v>1958.2</v>
      </c>
      <c r="D66" s="5" t="s">
        <v>40</v>
      </c>
      <c r="E66" s="5">
        <v>2025</v>
      </c>
      <c r="F66" s="2" t="s">
        <v>43</v>
      </c>
      <c r="G66" s="6"/>
    </row>
    <row r="67" spans="1:7">
      <c r="A67" s="2" t="s">
        <v>18</v>
      </c>
      <c r="B67" s="3">
        <v>45658</v>
      </c>
      <c r="C67" s="4">
        <v>61204.32</v>
      </c>
      <c r="D67" s="5" t="s">
        <v>19</v>
      </c>
      <c r="E67" s="5">
        <v>2025</v>
      </c>
      <c r="F67" s="2" t="s">
        <v>43</v>
      </c>
      <c r="G67" s="6"/>
    </row>
    <row r="68" spans="1:7">
      <c r="A68" s="2" t="s">
        <v>20</v>
      </c>
      <c r="B68" s="3">
        <v>45658</v>
      </c>
      <c r="C68" s="4">
        <v>2704.76</v>
      </c>
      <c r="D68" s="5" t="s">
        <v>21</v>
      </c>
      <c r="E68" s="5">
        <v>2025</v>
      </c>
      <c r="F68" s="2" t="s">
        <v>43</v>
      </c>
      <c r="G68" s="6"/>
    </row>
    <row r="69" spans="1:7">
      <c r="A69" s="2" t="s">
        <v>22</v>
      </c>
      <c r="B69" s="3">
        <v>45658</v>
      </c>
      <c r="C69" s="4">
        <v>8655.69</v>
      </c>
      <c r="D69" s="5" t="s">
        <v>23</v>
      </c>
      <c r="E69" s="5">
        <v>2025</v>
      </c>
      <c r="F69" s="2" t="s">
        <v>43</v>
      </c>
      <c r="G69" s="6"/>
    </row>
    <row r="70" spans="1:7">
      <c r="A70" s="2" t="s">
        <v>24</v>
      </c>
      <c r="B70" s="3">
        <v>45658</v>
      </c>
      <c r="C70" s="4">
        <v>9007.3799999999992</v>
      </c>
      <c r="D70" s="5" t="s">
        <v>25</v>
      </c>
      <c r="E70" s="5">
        <v>2025</v>
      </c>
      <c r="F70" s="2" t="s">
        <v>43</v>
      </c>
      <c r="G70" s="6"/>
    </row>
    <row r="71" spans="1:7">
      <c r="A71" s="2" t="s">
        <v>26</v>
      </c>
      <c r="B71" s="3">
        <v>45658</v>
      </c>
      <c r="C71" s="4">
        <v>17663.07</v>
      </c>
      <c r="D71" s="5" t="s">
        <v>27</v>
      </c>
      <c r="E71" s="5">
        <v>2025</v>
      </c>
      <c r="F71" s="2" t="s">
        <v>43</v>
      </c>
      <c r="G71" s="6"/>
    </row>
    <row r="72" spans="1:7">
      <c r="A72" s="2" t="s">
        <v>28</v>
      </c>
      <c r="B72" s="3">
        <v>45658</v>
      </c>
      <c r="C72" s="4">
        <v>16486.39</v>
      </c>
      <c r="D72" s="5" t="s">
        <v>29</v>
      </c>
      <c r="E72" s="5">
        <v>2025</v>
      </c>
      <c r="F72" s="2" t="s">
        <v>43</v>
      </c>
      <c r="G72" s="6"/>
    </row>
    <row r="73" spans="1:7">
      <c r="A73" s="2" t="s">
        <v>30</v>
      </c>
      <c r="B73" s="3">
        <v>45658</v>
      </c>
      <c r="C73" s="4">
        <v>1106.02</v>
      </c>
      <c r="D73" s="5" t="s">
        <v>31</v>
      </c>
      <c r="E73" s="5">
        <v>2025</v>
      </c>
      <c r="F73" s="2" t="s">
        <v>43</v>
      </c>
      <c r="G73" s="6"/>
    </row>
    <row r="74" spans="1:7">
      <c r="A74" s="2" t="s">
        <v>32</v>
      </c>
      <c r="B74" s="3">
        <v>45658</v>
      </c>
      <c r="C74" s="4">
        <v>1338.17</v>
      </c>
      <c r="D74" s="5" t="s">
        <v>41</v>
      </c>
      <c r="E74" s="5">
        <v>2025</v>
      </c>
      <c r="F74" s="2" t="s">
        <v>43</v>
      </c>
      <c r="G74" s="6"/>
    </row>
    <row r="75" spans="1:7">
      <c r="A75" s="7" t="s">
        <v>33</v>
      </c>
      <c r="B75" s="3">
        <v>45658</v>
      </c>
      <c r="C75" s="8">
        <f>C62+C64+C65+C66</f>
        <v>69835.289999999994</v>
      </c>
      <c r="D75" s="5" t="s">
        <v>34</v>
      </c>
      <c r="E75" s="5">
        <v>2025</v>
      </c>
      <c r="F75" s="2" t="s">
        <v>43</v>
      </c>
      <c r="G75" s="6" t="s">
        <v>35</v>
      </c>
    </row>
    <row r="76" spans="1:7">
      <c r="A76" s="7" t="s">
        <v>36</v>
      </c>
      <c r="B76" s="3">
        <v>45658</v>
      </c>
      <c r="C76" s="8">
        <f>C75-C72-C73</f>
        <v>52242.879999999997</v>
      </c>
      <c r="D76" s="5" t="s">
        <v>34</v>
      </c>
      <c r="E76" s="5">
        <v>2025</v>
      </c>
      <c r="F76" s="2" t="s">
        <v>43</v>
      </c>
      <c r="G76" s="6" t="s">
        <v>37</v>
      </c>
    </row>
  </sheetData>
  <pageMargins left="0.75" right="0.75" top="1" bottom="1" header="0.5" footer="0.5"/>
  <headerFooter>
    <oddFooter>&amp;C_x000D_&amp;1#&amp;"Arial"&amp;8&amp;K000000 Uso Interno. Prohibida su difusión sin consentimiento por escrito de Banco de Sabadell, S.A.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6" width="16" customWidth="1"/>
  </cols>
  <sheetData>
    <row r="1" spans="1:6">
      <c r="A1" s="9" t="s">
        <v>0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</row>
    <row r="2" spans="1:6">
      <c r="A2" s="10" t="s">
        <v>7</v>
      </c>
      <c r="B2" s="11">
        <f>Extracción!C2</f>
        <v>49639.98</v>
      </c>
      <c r="C2" s="11">
        <f>Extracción!C17</f>
        <v>46396.85</v>
      </c>
      <c r="D2" s="11">
        <f>Extracción!C32</f>
        <v>53157.919999999998</v>
      </c>
      <c r="E2" s="11">
        <f>Extracción!C47</f>
        <v>59896.2</v>
      </c>
      <c r="F2" s="11">
        <f>Extracción!C62</f>
        <v>67055.039999999994</v>
      </c>
    </row>
    <row r="3" spans="1:6">
      <c r="A3" s="10" t="s">
        <v>10</v>
      </c>
      <c r="B3" s="11">
        <f>Extracción!C3</f>
        <v>7734.2</v>
      </c>
      <c r="C3" s="11">
        <f>Extracción!C18</f>
        <v>8439.8700000000008</v>
      </c>
      <c r="D3" s="11">
        <f>Extracción!C33</f>
        <v>11944.27</v>
      </c>
      <c r="E3" s="11">
        <f>Extracción!C48</f>
        <v>14104.38</v>
      </c>
      <c r="F3" s="11">
        <f>Extracción!C63</f>
        <v>16427.63</v>
      </c>
    </row>
    <row r="4" spans="1:6">
      <c r="A4" s="10" t="s">
        <v>12</v>
      </c>
      <c r="B4" s="11">
        <f>Extracción!C4</f>
        <v>225.11</v>
      </c>
      <c r="C4" s="11">
        <f>Extracción!C19</f>
        <v>0</v>
      </c>
      <c r="D4" s="11">
        <f>Extracción!C34</f>
        <v>708.99</v>
      </c>
      <c r="E4" s="11">
        <f>Extracción!C49</f>
        <v>1632.04</v>
      </c>
      <c r="F4" s="11">
        <f>Extracción!C64</f>
        <v>822.05</v>
      </c>
    </row>
    <row r="5" spans="1:6">
      <c r="A5" s="10" t="s">
        <v>14</v>
      </c>
      <c r="B5" s="11">
        <f>Extracción!C5</f>
        <v>31.49</v>
      </c>
      <c r="C5" s="11">
        <f>Extracción!C20</f>
        <v>0</v>
      </c>
      <c r="D5" s="11">
        <f>Extracción!C35</f>
        <v>0</v>
      </c>
      <c r="E5" s="11">
        <f>Extracción!C50</f>
        <v>0</v>
      </c>
      <c r="F5" s="11">
        <f>Extracción!C65</f>
        <v>0</v>
      </c>
    </row>
    <row r="6" spans="1:6">
      <c r="A6" s="10" t="s">
        <v>16</v>
      </c>
      <c r="B6" s="11">
        <f>Extracción!C6</f>
        <v>-1086.8</v>
      </c>
      <c r="C6" s="11">
        <f>Extracción!C21</f>
        <v>-2125.4899999999998</v>
      </c>
      <c r="D6" s="11">
        <f>Extracción!C36</f>
        <v>2417.91</v>
      </c>
      <c r="E6" s="11">
        <f>Extracción!C51</f>
        <v>12224.64</v>
      </c>
      <c r="F6" s="11">
        <f>Extracción!C66</f>
        <v>1958.2</v>
      </c>
    </row>
    <row r="7" spans="1:6">
      <c r="A7" s="10" t="s">
        <v>18</v>
      </c>
      <c r="B7" s="11">
        <f>Extracción!C7</f>
        <v>44733.14</v>
      </c>
      <c r="C7" s="11">
        <f>Extracción!C22</f>
        <v>41447.760000000002</v>
      </c>
      <c r="D7" s="11">
        <f>Extracción!C37</f>
        <v>47727.53</v>
      </c>
      <c r="E7" s="11">
        <f>Extracción!C52</f>
        <v>54242.33</v>
      </c>
      <c r="F7" s="11">
        <f>Extracción!C67</f>
        <v>61204.32</v>
      </c>
    </row>
    <row r="8" spans="1:6">
      <c r="A8" s="10" t="s">
        <v>20</v>
      </c>
      <c r="B8" s="11">
        <f>Extracción!C8</f>
        <v>89.05</v>
      </c>
      <c r="C8" s="11">
        <f>Extracción!C23</f>
        <v>0</v>
      </c>
      <c r="D8" s="11">
        <f>Extracción!C38</f>
        <v>520.30999999999995</v>
      </c>
      <c r="E8" s="11">
        <f>Extracción!C53</f>
        <v>10100.64</v>
      </c>
      <c r="F8" s="11">
        <f>Extracción!C68</f>
        <v>2704.76</v>
      </c>
    </row>
    <row r="9" spans="1:6">
      <c r="A9" s="10" t="s">
        <v>22</v>
      </c>
      <c r="B9" s="11">
        <f>Extracción!C9</f>
        <v>5607.59</v>
      </c>
      <c r="C9" s="11">
        <f>Extracción!C24</f>
        <v>4991.34</v>
      </c>
      <c r="D9" s="11">
        <f>Extracción!C39</f>
        <v>6041.82</v>
      </c>
      <c r="E9" s="11">
        <f>Extracción!C54</f>
        <v>8191.37</v>
      </c>
      <c r="F9" s="11">
        <f>Extracción!C69</f>
        <v>8655.69</v>
      </c>
    </row>
    <row r="10" spans="1:6">
      <c r="A10" s="10" t="s">
        <v>24</v>
      </c>
      <c r="B10" s="11">
        <f>Extracción!C10</f>
        <v>5352.11</v>
      </c>
      <c r="C10" s="11">
        <f>Extracción!C25</f>
        <v>4883.91</v>
      </c>
      <c r="D10" s="11">
        <f>Extracción!C40</f>
        <v>6001.75</v>
      </c>
      <c r="E10" s="11">
        <f>Extracción!C55</f>
        <v>8281.8799999999992</v>
      </c>
      <c r="F10" s="11">
        <f>Extracción!C70</f>
        <v>9007.3799999999992</v>
      </c>
    </row>
    <row r="11" spans="1:6">
      <c r="A11" s="10" t="s">
        <v>26</v>
      </c>
      <c r="B11" s="11">
        <f>Extracción!C11</f>
        <v>10959.7</v>
      </c>
      <c r="C11" s="11">
        <f>Extracción!C26</f>
        <v>9875.25</v>
      </c>
      <c r="D11" s="11">
        <f>Extracción!C41</f>
        <v>11939.57</v>
      </c>
      <c r="E11" s="11">
        <f>Extracción!C56</f>
        <v>16473.25</v>
      </c>
      <c r="F11" s="11">
        <f>Extracción!C71</f>
        <v>17663.07</v>
      </c>
    </row>
    <row r="12" spans="1:6">
      <c r="A12" s="10" t="s">
        <v>28</v>
      </c>
      <c r="B12" s="11">
        <f>Extracción!C12</f>
        <v>7776.56</v>
      </c>
      <c r="C12" s="11">
        <f>Extracción!C27</f>
        <v>8439.8700000000008</v>
      </c>
      <c r="D12" s="11">
        <f>Extracción!C42</f>
        <v>12078.98</v>
      </c>
      <c r="E12" s="11">
        <f>Extracción!C57</f>
        <v>14413.61</v>
      </c>
      <c r="F12" s="11">
        <f>Extracción!C72</f>
        <v>16486.39</v>
      </c>
    </row>
    <row r="13" spans="1:6">
      <c r="A13" s="10" t="s">
        <v>30</v>
      </c>
      <c r="B13" s="11">
        <f>Extracción!C13</f>
        <v>3183.14</v>
      </c>
      <c r="C13" s="11">
        <f>Extracción!C28</f>
        <v>1435.38</v>
      </c>
      <c r="D13" s="11">
        <f>Extracción!C43</f>
        <v>-139.41</v>
      </c>
      <c r="E13" s="11">
        <f>Extracción!C58</f>
        <v>2059.64</v>
      </c>
      <c r="F13" s="11">
        <f>Extracción!C73</f>
        <v>1106.02</v>
      </c>
    </row>
    <row r="14" spans="1:6">
      <c r="A14" s="10" t="s">
        <v>32</v>
      </c>
      <c r="B14" s="11">
        <f>Extracción!C14</f>
        <v>0</v>
      </c>
      <c r="C14" s="11">
        <f>Extracción!C29</f>
        <v>0</v>
      </c>
      <c r="D14" s="11">
        <f>Extracción!C44</f>
        <v>868.68</v>
      </c>
      <c r="E14" s="11">
        <f>Extracción!C59</f>
        <v>905.6</v>
      </c>
      <c r="F14" s="11">
        <f>Extracción!C74</f>
        <v>1338.17</v>
      </c>
    </row>
    <row r="15" spans="1:6">
      <c r="A15" s="12" t="s">
        <v>33</v>
      </c>
      <c r="B15" s="11">
        <f>Extracción!C15</f>
        <v>48809.78</v>
      </c>
      <c r="C15" s="11">
        <f>Extracción!C30</f>
        <v>44271.360000000001</v>
      </c>
      <c r="D15" s="11">
        <f>Extracción!C45</f>
        <v>56284.819999999992</v>
      </c>
      <c r="E15" s="11">
        <f>Extracción!C60</f>
        <v>73752.88</v>
      </c>
      <c r="F15" s="11">
        <f>Extracción!C75</f>
        <v>69835.289999999994</v>
      </c>
    </row>
    <row r="16" spans="1:6">
      <c r="A16" s="12" t="s">
        <v>36</v>
      </c>
      <c r="B16" s="11">
        <f>Extracción!C16</f>
        <v>37850.080000000002</v>
      </c>
      <c r="C16" s="11">
        <f>Extracción!C31</f>
        <v>34396.11</v>
      </c>
      <c r="D16" s="11">
        <f>Extracción!C46</f>
        <v>44345.25</v>
      </c>
      <c r="E16" s="11">
        <f>Extracción!C61</f>
        <v>57279.630000000005</v>
      </c>
      <c r="F16" s="11">
        <f>Extracción!C76</f>
        <v>52242.879999999997</v>
      </c>
    </row>
  </sheetData>
  <pageMargins left="0.75" right="0.75" top="1" bottom="1" header="0.5" footer="0.5"/>
  <headerFooter>
    <oddFooter>&amp;C_x000D_&amp;1#&amp;"Arial"&amp;8&amp;K000000 Uso Interno. Prohibida su difusión sin consentimiento por escrito de Banco de Sabadell, S.A.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workbookViewId="0"/>
  </sheetViews>
  <sheetFormatPr defaultRowHeight="15"/>
  <cols>
    <col min="1" max="1" width="32" customWidth="1"/>
    <col min="2" max="2" width="95" customWidth="1"/>
  </cols>
  <sheetData>
    <row r="1" spans="1:2">
      <c r="A1" s="13" t="s">
        <v>0</v>
      </c>
      <c r="B1" s="13" t="s">
        <v>49</v>
      </c>
    </row>
    <row r="2" spans="1:2">
      <c r="A2" s="14" t="s">
        <v>7</v>
      </c>
      <c r="B2" s="15" t="s">
        <v>50</v>
      </c>
    </row>
    <row r="3" spans="1:2">
      <c r="A3" s="14" t="s">
        <v>10</v>
      </c>
      <c r="B3" s="15" t="s">
        <v>51</v>
      </c>
    </row>
    <row r="4" spans="1:2">
      <c r="A4" s="14" t="s">
        <v>12</v>
      </c>
      <c r="B4" s="15" t="s">
        <v>52</v>
      </c>
    </row>
    <row r="5" spans="1:2">
      <c r="A5" s="14" t="s">
        <v>14</v>
      </c>
      <c r="B5" s="15" t="s">
        <v>53</v>
      </c>
    </row>
    <row r="6" spans="1:2">
      <c r="A6" s="14" t="s">
        <v>16</v>
      </c>
      <c r="B6" s="15" t="s">
        <v>54</v>
      </c>
    </row>
    <row r="7" spans="1:2">
      <c r="A7" s="14" t="s">
        <v>18</v>
      </c>
      <c r="B7" s="15" t="s">
        <v>55</v>
      </c>
    </row>
    <row r="8" spans="1:2">
      <c r="A8" s="14" t="s">
        <v>20</v>
      </c>
      <c r="B8" s="15" t="s">
        <v>56</v>
      </c>
    </row>
    <row r="9" spans="1:2">
      <c r="A9" s="14" t="s">
        <v>22</v>
      </c>
      <c r="B9" s="15" t="s">
        <v>57</v>
      </c>
    </row>
    <row r="10" spans="1:2">
      <c r="A10" s="14" t="s">
        <v>24</v>
      </c>
      <c r="B10" s="15" t="s">
        <v>58</v>
      </c>
    </row>
    <row r="11" spans="1:2">
      <c r="A11" s="14" t="s">
        <v>26</v>
      </c>
      <c r="B11" s="15" t="s">
        <v>59</v>
      </c>
    </row>
    <row r="12" spans="1:2">
      <c r="A12" s="14" t="s">
        <v>28</v>
      </c>
      <c r="B12" s="15" t="s">
        <v>60</v>
      </c>
    </row>
    <row r="13" spans="1:2">
      <c r="A13" s="14" t="s">
        <v>30</v>
      </c>
      <c r="B13" s="15" t="s">
        <v>61</v>
      </c>
    </row>
    <row r="14" spans="1:2">
      <c r="A14" s="14" t="s">
        <v>32</v>
      </c>
      <c r="B14" s="15" t="s">
        <v>62</v>
      </c>
    </row>
    <row r="15" spans="1:2">
      <c r="A15" s="14" t="s">
        <v>33</v>
      </c>
      <c r="B15" s="15" t="s">
        <v>63</v>
      </c>
    </row>
    <row r="16" spans="1:2">
      <c r="A16" s="14" t="s">
        <v>36</v>
      </c>
      <c r="B16" s="15" t="s">
        <v>64</v>
      </c>
    </row>
  </sheetData>
  <pageMargins left="0.75" right="0.75" top="1" bottom="1" header="0.5" footer="0.5"/>
  <headerFooter>
    <oddFooter>&amp;C_x000D_&amp;1#&amp;"Arial"&amp;8&amp;K000000 Uso Interno. Prohibida su difusión sin consentimiento por escrito de Banco de Sabadell, S.A.</oddFooter>
  </headerFooter>
</worksheet>
</file>

<file path=docMetadata/LabelInfo.xml><?xml version="1.0" encoding="utf-8"?>
<clbl:labelList xmlns:clbl="http://schemas.microsoft.com/office/2020/mipLabelMetadata">
  <clbl:label id="{f7768166-34c8-41c7-970d-92c0ebf90128}" enabled="1" method="Standard" siteId="{8e3011fb-7db0-45b9-82a1-90b9d8a5f4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TARIN BERNAD, DAVID</dc:creator>
  <cp:keywords/>
  <dc:description/>
  <cp:lastModifiedBy/>
  <cp:revision/>
  <dcterms:created xsi:type="dcterms:W3CDTF">2026-07-17T07:28:34Z</dcterms:created>
  <dcterms:modified xsi:type="dcterms:W3CDTF">2026-07-17T07:29:46Z</dcterms:modified>
  <cp:category/>
  <cp:contentStatus/>
</cp:coreProperties>
</file>